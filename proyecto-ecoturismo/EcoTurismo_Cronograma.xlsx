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mbedu-my.sharepoint.com/personal/danylugo_ve_academia_umb_edu_co/Documents/"/>
    </mc:Choice>
  </mc:AlternateContent>
  <xr:revisionPtr revIDLastSave="0" documentId="8_{A9A47C1D-0CA3-450F-9D5F-0E110E3E7F6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ronograma" sheetId="1" r:id="rId1"/>
    <sheet name="Gantt Visual" sheetId="2" r:id="rId2"/>
  </sheets>
  <definedNames>
    <definedName name="_xlnm.Print_Titles" localSheetId="0">Cronograma!$1:$3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J40" i="1"/>
  <c r="H40" i="1"/>
  <c r="F40" i="1"/>
  <c r="D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4" i="1"/>
</calcChain>
</file>

<file path=xl/sharedStrings.xml><?xml version="1.0" encoding="utf-8"?>
<sst xmlns="http://schemas.openxmlformats.org/spreadsheetml/2006/main" count="333" uniqueCount="168">
  <si>
    <t>🌿  ECO TURISMO EXPERIENCIAL  —  Plan de Gestión del Cronograma</t>
  </si>
  <si>
    <t>Proyecto: Plataforma Web Marketplace de Ecoturismo  |  Fecha de inicio: 06/03/2026</t>
  </si>
  <si>
    <t>ID</t>
  </si>
  <si>
    <t>Fase</t>
  </si>
  <si>
    <t>Actividad / Entregable</t>
  </si>
  <si>
    <t>Fecha
Inicio</t>
  </si>
  <si>
    <t>Fecha
Fin</t>
  </si>
  <si>
    <t>Duración
(días)</t>
  </si>
  <si>
    <t>Dependencias</t>
  </si>
  <si>
    <t>Estado</t>
  </si>
  <si>
    <t>% Avance</t>
  </si>
  <si>
    <t>Riesgo</t>
  </si>
  <si>
    <t>Prioridad</t>
  </si>
  <si>
    <t>Notas</t>
  </si>
  <si>
    <t>Análisis</t>
  </si>
  <si>
    <t>Kick-off y constitución del equipo</t>
  </si>
  <si>
    <t>-</t>
  </si>
  <si>
    <t>En curso</t>
  </si>
  <si>
    <t>Bajo</t>
  </si>
  <si>
    <t>Alta</t>
  </si>
  <si>
    <t>Identificación de Stakeholders</t>
  </si>
  <si>
    <t>1</t>
  </si>
  <si>
    <t>Levantamiento de Requisitos Funcionales</t>
  </si>
  <si>
    <t>2</t>
  </si>
  <si>
    <t>Medio</t>
  </si>
  <si>
    <t>Elaboración de Historias de Usuario</t>
  </si>
  <si>
    <t>3</t>
  </si>
  <si>
    <t>Definición del Alcance y Acta del Proyecto</t>
  </si>
  <si>
    <t>3,4</t>
  </si>
  <si>
    <t>Alto</t>
  </si>
  <si>
    <t>Análisis de Riesgos</t>
  </si>
  <si>
    <t>5</t>
  </si>
  <si>
    <t>Media</t>
  </si>
  <si>
    <t>Diseño</t>
  </si>
  <si>
    <t>Modelo Entidad-Relación (BD)</t>
  </si>
  <si>
    <t>Pendiente</t>
  </si>
  <si>
    <t>Diseño de Arquitectura del Sistema</t>
  </si>
  <si>
    <t>Mockups UI / Wireframes</t>
  </si>
  <si>
    <t>4</t>
  </si>
  <si>
    <t>Diseño de API RESTful</t>
  </si>
  <si>
    <t>7,8</t>
  </si>
  <si>
    <t>Prototipo Interactivo</t>
  </si>
  <si>
    <t>9</t>
  </si>
  <si>
    <t>Plan de Seguridad (OWASP Top 10)</t>
  </si>
  <si>
    <t>8</t>
  </si>
  <si>
    <t>Implementación</t>
  </si>
  <si>
    <t>Configuración del Entorno DevOps/CI-CD</t>
  </si>
  <si>
    <t>8,10</t>
  </si>
  <si>
    <t>Desarrollo Backend — Autenticación y Roles</t>
  </si>
  <si>
    <t>10,13</t>
  </si>
  <si>
    <t>Desarrollo Backend — Gestión de Listings</t>
  </si>
  <si>
    <t>14</t>
  </si>
  <si>
    <t>Desarrollo Backend — Sistema de Reservas</t>
  </si>
  <si>
    <t>15</t>
  </si>
  <si>
    <t>Integración Pasarela de Pagos (Simulado)</t>
  </si>
  <si>
    <t>16</t>
  </si>
  <si>
    <t>Desarrollo Frontend — Vue.js Base</t>
  </si>
  <si>
    <t>11,13</t>
  </si>
  <si>
    <t>Desarrollo Frontend — Búsqueda y Filtros</t>
  </si>
  <si>
    <t>18</t>
  </si>
  <si>
    <t>Desarrollo Frontend — Panel Anfitrión/Admin</t>
  </si>
  <si>
    <t>19</t>
  </si>
  <si>
    <t>Integración de Mapas / Geolocalización</t>
  </si>
  <si>
    <t>19,10</t>
  </si>
  <si>
    <t>Sistema de Calificaciones y Reseñas</t>
  </si>
  <si>
    <t>15,16</t>
  </si>
  <si>
    <t>Optimización de Imágenes y CDN</t>
  </si>
  <si>
    <t>Pruebas</t>
  </si>
  <si>
    <t>Plan de Pruebas</t>
  </si>
  <si>
    <t>13</t>
  </si>
  <si>
    <t>Pruebas Unitarias Backend</t>
  </si>
  <si>
    <t>14,15,16</t>
  </si>
  <si>
    <t>Pruebas de Integración API</t>
  </si>
  <si>
    <t>25,10</t>
  </si>
  <si>
    <t>Pruebas de Usabilidad UI</t>
  </si>
  <si>
    <t>20,26</t>
  </si>
  <si>
    <t>Pruebas de Seguridad (Pentest básico)</t>
  </si>
  <si>
    <t>12,26</t>
  </si>
  <si>
    <t>Pruebas de Carga y Rendimiento</t>
  </si>
  <si>
    <t>26</t>
  </si>
  <si>
    <t>UAT — Aceptación con Stakeholders</t>
  </si>
  <si>
    <t>27,28,29</t>
  </si>
  <si>
    <t>Corrección de Defectos y Regresión</t>
  </si>
  <si>
    <t>30</t>
  </si>
  <si>
    <t>Gestión</t>
  </si>
  <si>
    <t>Revisiones de Sprint (cada 2 semanas)</t>
  </si>
  <si>
    <t>Documentación Técnica y Manual de Usuario</t>
  </si>
  <si>
    <t>15,18</t>
  </si>
  <si>
    <t>Despliegue en Producción</t>
  </si>
  <si>
    <t>31</t>
  </si>
  <si>
    <t>Cierre del Proyecto y Lecciones Aprendidas</t>
  </si>
  <si>
    <t>34</t>
  </si>
  <si>
    <t>RESUMEN DEL PROYECTO</t>
  </si>
  <si>
    <t>Tareas Finalizadas:</t>
  </si>
  <si>
    <t>Tareas En Curso:</t>
  </si>
  <si>
    <t>% Avance Promedio:</t>
  </si>
  <si>
    <t>LEYENDA DE COLORES</t>
  </si>
  <si>
    <t>% ✅ Verde: En tiempo</t>
  </si>
  <si>
    <t>% ⚠️ Amarillo: Alerta</t>
  </si>
  <si>
    <t>% 🔴 Rojo: Crítico/Vencido</t>
  </si>
  <si>
    <t>🌿  ECO TURISMO EXPERIENCIAL  —  Diagrama de Gantt (Cronograma Visual)</t>
  </si>
  <si>
    <t>Período: 03/03/2026  →  11/07/2026    |    Cada columna = 5 días</t>
  </si>
  <si>
    <t>x</t>
  </si>
  <si>
    <t>Apr 2026</t>
  </si>
  <si>
    <t>03/03</t>
  </si>
  <si>
    <t>08/03</t>
  </si>
  <si>
    <t>13/03</t>
  </si>
  <si>
    <t>18/03</t>
  </si>
  <si>
    <t>23/03</t>
  </si>
  <si>
    <t>28/03</t>
  </si>
  <si>
    <t>02/04</t>
  </si>
  <si>
    <t>07/04</t>
  </si>
  <si>
    <t>12/04</t>
  </si>
  <si>
    <t>17/04</t>
  </si>
  <si>
    <t>22/04</t>
  </si>
  <si>
    <t>27/04</t>
  </si>
  <si>
    <t>02/05</t>
  </si>
  <si>
    <t>07/05</t>
  </si>
  <si>
    <t>12/05</t>
  </si>
  <si>
    <t>17/05</t>
  </si>
  <si>
    <t>22/05</t>
  </si>
  <si>
    <t>27/05</t>
  </si>
  <si>
    <t>01/06</t>
  </si>
  <si>
    <t>06/06</t>
  </si>
  <si>
    <t>11/06</t>
  </si>
  <si>
    <t>16/06</t>
  </si>
  <si>
    <t>21/06</t>
  </si>
  <si>
    <t>26/06</t>
  </si>
  <si>
    <t>01/07</t>
  </si>
  <si>
    <t>06/07</t>
  </si>
  <si>
    <t>ANÁ | Kick-off y constitución del eq</t>
  </si>
  <si>
    <t>█</t>
  </si>
  <si>
    <t>ANÁ | Identificación de Stakeholders</t>
  </si>
  <si>
    <t>ANÁ | Levantamiento de Requisitos Fu</t>
  </si>
  <si>
    <t>ANÁ | Elaboración de Historias de Us</t>
  </si>
  <si>
    <t>░</t>
  </si>
  <si>
    <t xml:space="preserve">ANÁ | Definición del Alcance y Acta </t>
  </si>
  <si>
    <t>ANÁ | Análisis de Riesgos</t>
  </si>
  <si>
    <t>DIS | Modelo Entidad-Relación (BD)</t>
  </si>
  <si>
    <t>DIS | Diseño de Arquitectura del Sis</t>
  </si>
  <si>
    <t>DIS | Mockups UI / Wireframes</t>
  </si>
  <si>
    <t>DIS | Diseño de API RESTful</t>
  </si>
  <si>
    <t>DIS | Prototipo Interactivo</t>
  </si>
  <si>
    <t>DIS | Plan de Seguridad (OWASP Top 1</t>
  </si>
  <si>
    <t>IMP | Configuración del Entorno DevO</t>
  </si>
  <si>
    <t>IMP | Desarrollo Backend — Autentica</t>
  </si>
  <si>
    <t>IMP | Desarrollo Backend — Gestión d</t>
  </si>
  <si>
    <t>IMP | Desarrollo Backend — Sistema d</t>
  </si>
  <si>
    <t xml:space="preserve">IMP | Integración Pasarela de Pagos </t>
  </si>
  <si>
    <t>IMP | Desarrollo Frontend — Vue.js B</t>
  </si>
  <si>
    <t>IMP | Desarrollo Frontend — Búsqueda</t>
  </si>
  <si>
    <t>IMP | Desarrollo Frontend — Panel An</t>
  </si>
  <si>
    <t>IMP | Integración de Mapas / Geoloca</t>
  </si>
  <si>
    <t>IMP | Sistema de Calificaciones y Re</t>
  </si>
  <si>
    <t>IMP | Optimización de Imágenes y CDN</t>
  </si>
  <si>
    <t>PRU | Plan de Pruebas</t>
  </si>
  <si>
    <t>PRU | Pruebas Unitarias Backend</t>
  </si>
  <si>
    <t>PRU | Pruebas de Integración API</t>
  </si>
  <si>
    <t>PRU | Pruebas de Usabilidad UI</t>
  </si>
  <si>
    <t xml:space="preserve">PRU | Pruebas de Seguridad (Pentest </t>
  </si>
  <si>
    <t>PRU | Pruebas de Carga y Rendimiento</t>
  </si>
  <si>
    <t>PRU | UAT — Aceptación con Stakehold</t>
  </si>
  <si>
    <t>PRU | Corrección de Defectos y Regre</t>
  </si>
  <si>
    <t>GES | Revisiones de Sprint (cada 2 s</t>
  </si>
  <si>
    <t>GES | Documentación Técnica y Manual</t>
  </si>
  <si>
    <t>GES | Despliegue en Producción</t>
  </si>
  <si>
    <t>GES | Cierre del Proyecto y Leccione</t>
  </si>
  <si>
    <t>LEYENDA  |  █ Avance completado   ░ Planificado   │ Hoy   Colores por fase: ANA=Azul  DIS=Verde  IMP=Naranja  PRU=Morado  GES=Gris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</si>
</sst>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0&quot; días&quot;"/>
    <numFmt numFmtId="166" formatCode="dd/mm/yyyy;@"/>
  </numFmts>
  <fonts count="36">
    <font>
      <sz val="11"/>
      <color theme="1"/>
      <name val="Calibri"/>
      <family val="2"/>
      <charset val="1"/>
    </font>
    <font>
      <b/>
      <sz val="14"/>
      <color rgb="FFF0EAD6"/>
      <name val="Calibri"/>
      <family val="2"/>
    </font>
    <font>
      <i/>
      <sz val="9"/>
      <color rgb="FF555555"/>
      <name val="Calibri"/>
      <family val="2"/>
    </font>
    <font>
      <b/>
      <sz val="9"/>
      <color rgb="FFF0EAD6"/>
      <name val="Calibri"/>
      <family val="2"/>
    </font>
    <font>
      <b/>
      <sz val="9"/>
      <name val="Calibri"/>
      <family val="2"/>
    </font>
    <font>
      <b/>
      <sz val="9"/>
      <color rgb="FF2E86C1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b/>
      <sz val="9"/>
      <color rgb="FF1E8449"/>
      <name val="Calibri"/>
      <family val="2"/>
    </font>
    <font>
      <b/>
      <sz val="9"/>
      <color rgb="FFCA6F1E"/>
      <name val="Calibri"/>
      <family val="2"/>
    </font>
    <font>
      <b/>
      <sz val="9"/>
      <color rgb="FF7D3C98"/>
      <name val="Calibri"/>
      <family val="2"/>
    </font>
    <font>
      <b/>
      <sz val="9"/>
      <color rgb="FF717D7E"/>
      <name val="Calibri"/>
      <family val="2"/>
    </font>
    <font>
      <b/>
      <sz val="10"/>
      <color rgb="FFF0EAD6"/>
      <name val="Calibri"/>
      <family val="2"/>
    </font>
    <font>
      <b/>
      <sz val="9"/>
      <color rgb="FF2E4057"/>
      <name val="Calibri"/>
      <family val="2"/>
    </font>
    <font>
      <b/>
      <sz val="9"/>
      <color rgb="FF1A5276"/>
      <name val="Calibri"/>
      <family val="2"/>
    </font>
    <font>
      <b/>
      <sz val="8"/>
      <color rgb="FF2E86C1"/>
      <name val="Calibri"/>
      <family val="2"/>
    </font>
    <font>
      <b/>
      <sz val="8"/>
      <color rgb="FF1E8449"/>
      <name val="Calibri"/>
      <family val="2"/>
    </font>
    <font>
      <b/>
      <sz val="8"/>
      <color rgb="FFCA6F1E"/>
      <name val="Calibri"/>
      <family val="2"/>
    </font>
    <font>
      <b/>
      <sz val="8"/>
      <color rgb="FF7D3C98"/>
      <name val="Calibri"/>
      <family val="2"/>
    </font>
    <font>
      <b/>
      <sz val="8"/>
      <color rgb="FF717D7E"/>
      <name val="Calibri"/>
      <family val="2"/>
    </font>
    <font>
      <b/>
      <sz val="8"/>
      <color rgb="FF1A5276"/>
      <name val="Calibri"/>
      <family val="2"/>
    </font>
    <font>
      <b/>
      <sz val="8"/>
      <color rgb="FF9A7D0A"/>
      <name val="Calibri"/>
      <family val="2"/>
    </font>
    <font>
      <b/>
      <sz val="8"/>
      <color rgb="FF922B21"/>
      <name val="Calibri"/>
      <family val="2"/>
    </font>
    <font>
      <b/>
      <sz val="13"/>
      <color rgb="FFF0EAD6"/>
      <name val="Calibri"/>
      <family val="2"/>
    </font>
    <font>
      <b/>
      <sz val="8"/>
      <color rgb="FFF0EAD6"/>
      <name val="Calibri"/>
      <family val="2"/>
    </font>
    <font>
      <sz val="7"/>
      <color rgb="FFF0EAD6"/>
      <name val="Calibri"/>
      <family val="2"/>
    </font>
    <font>
      <sz val="6"/>
      <color rgb="FF2E86C1"/>
      <name val="Calibri"/>
      <family val="2"/>
    </font>
    <font>
      <sz val="6"/>
      <color rgb="FFD6E4F0"/>
      <name val="Calibri"/>
      <family val="2"/>
    </font>
    <font>
      <sz val="6"/>
      <color rgb="FFD5F5E3"/>
      <name val="Calibri"/>
      <family val="2"/>
    </font>
    <font>
      <sz val="6"/>
      <color rgb="FFFDEBD0"/>
      <name val="Calibri"/>
      <family val="2"/>
    </font>
    <font>
      <sz val="6"/>
      <color rgb="FFE8DAEF"/>
      <name val="Calibri"/>
      <family val="2"/>
    </font>
    <font>
      <sz val="8"/>
      <color rgb="FF717D7E"/>
      <name val="Calibri"/>
      <family val="2"/>
    </font>
    <font>
      <sz val="6"/>
      <color rgb="FFFDFEFE"/>
      <name val="Calibri"/>
      <family val="2"/>
    </font>
    <font>
      <i/>
      <sz val="8"/>
      <color rgb="FF444444"/>
      <name val="Calibri"/>
      <family val="2"/>
    </font>
    <font>
      <sz val="9"/>
      <name val="Calibri"/>
      <family val="2"/>
      <charset val="1"/>
    </font>
    <font>
      <b/>
      <sz val="8"/>
      <color rgb="FFF0EAD6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2E4057"/>
        <bgColor rgb="FF444444"/>
      </patternFill>
    </fill>
    <fill>
      <patternFill patternType="solid">
        <fgColor rgb="FFEAF0F6"/>
        <bgColor rgb="FFF2F3F4"/>
      </patternFill>
    </fill>
    <fill>
      <patternFill patternType="solid">
        <fgColor rgb="FF1C2B3A"/>
        <bgColor rgb="FF2E4057"/>
      </patternFill>
    </fill>
    <fill>
      <patternFill patternType="solid">
        <fgColor rgb="FFFFFFFF"/>
        <bgColor rgb="FFFDFEFE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E74C3C"/>
        <bgColor rgb="FFCA6F1E"/>
      </patternFill>
    </fill>
    <fill>
      <patternFill patternType="solid">
        <fgColor rgb="FFF5F1EC"/>
        <bgColor rgb="FFF2F3F4"/>
      </patternFill>
    </fill>
    <fill>
      <patternFill patternType="solid">
        <fgColor rgb="FFFEF9E7"/>
        <bgColor rgb="FFF5F1EC"/>
      </patternFill>
    </fill>
    <fill>
      <patternFill patternType="solid">
        <fgColor rgb="FFFDEDEC"/>
        <bgColor rgb="FFF5F1EC"/>
      </patternFill>
    </fill>
    <fill>
      <patternFill patternType="solid">
        <fgColor rgb="FFFDEBD0"/>
        <bgColor rgb="FFF0EAD6"/>
      </patternFill>
    </fill>
    <fill>
      <patternFill patternType="solid">
        <fgColor rgb="FFE8DAEF"/>
        <bgColor rgb="FFE0E0E0"/>
      </patternFill>
    </fill>
    <fill>
      <patternFill patternType="solid">
        <fgColor rgb="FFFDFEFE"/>
        <bgColor rgb="FFFFFFFF"/>
      </patternFill>
    </fill>
    <fill>
      <patternFill patternType="solid">
        <fgColor rgb="FFD6EAF8"/>
        <bgColor rgb="FFD6E4F0"/>
      </patternFill>
    </fill>
    <fill>
      <patternFill patternType="solid">
        <fgColor rgb="FFFADBD8"/>
        <bgColor rgb="FFE8DAEF"/>
      </patternFill>
    </fill>
    <fill>
      <patternFill patternType="solid">
        <fgColor rgb="FF2E86C1"/>
        <bgColor rgb="FF00808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right" vertical="center"/>
    </xf>
    <xf numFmtId="0" fontId="14" fillId="15" borderId="1" xfId="0" applyFont="1" applyFill="1" applyBorder="1" applyAlignment="1">
      <alignment horizontal="center" vertical="center"/>
    </xf>
    <xf numFmtId="9" fontId="14" fillId="15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26" fillId="17" borderId="3" xfId="0" applyFont="1" applyFill="1" applyBorder="1"/>
    <xf numFmtId="0" fontId="0" fillId="5" borderId="3" xfId="0" applyFill="1" applyBorder="1"/>
    <xf numFmtId="0" fontId="15" fillId="9" borderId="1" xfId="0" applyFont="1" applyFill="1" applyBorder="1" applyAlignment="1">
      <alignment horizontal="left" vertical="center"/>
    </xf>
    <xf numFmtId="0" fontId="0" fillId="9" borderId="3" xfId="0" applyFill="1" applyBorder="1"/>
    <xf numFmtId="0" fontId="27" fillId="6" borderId="3" xfId="0" applyFont="1" applyFill="1" applyBorder="1"/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28" fillId="7" borderId="3" xfId="0" applyFont="1" applyFill="1" applyBorder="1"/>
    <xf numFmtId="0" fontId="16" fillId="9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/>
    </xf>
    <xf numFmtId="0" fontId="29" fillId="12" borderId="3" xfId="0" applyFont="1" applyFill="1" applyBorder="1"/>
    <xf numFmtId="0" fontId="17" fillId="9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30" fillId="13" borderId="3" xfId="0" applyFont="1" applyFill="1" applyBorder="1"/>
    <xf numFmtId="0" fontId="18" fillId="13" borderId="1" xfId="0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left" vertical="center"/>
    </xf>
    <xf numFmtId="0" fontId="32" fillId="14" borderId="3" xfId="0" applyFont="1" applyFill="1" applyBorder="1"/>
    <xf numFmtId="0" fontId="31" fillId="14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34" fillId="10" borderId="1" xfId="0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17" fontId="35" fillId="2" borderId="2" xfId="0" applyNumberFormat="1" applyFont="1" applyFill="1" applyBorder="1" applyAlignment="1">
      <alignment horizontal="center" vertical="center"/>
    </xf>
    <xf numFmtId="17" fontId="35" fillId="2" borderId="4" xfId="0" applyNumberFormat="1" applyFont="1" applyFill="1" applyBorder="1" applyAlignment="1">
      <alignment horizontal="center" vertical="center"/>
    </xf>
    <xf numFmtId="17" fontId="35" fillId="2" borderId="5" xfId="0" applyNumberFormat="1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sz val="9"/>
        <color rgb="FF1A5276"/>
        <name val="Calibri"/>
        <charset val="1"/>
      </font>
      <fill>
        <patternFill>
          <bgColor rgb="FFD5F5E3"/>
        </patternFill>
      </fill>
    </dxf>
    <dxf>
      <font>
        <b/>
        <sz val="9"/>
        <color rgb="FF9A7D0A"/>
        <name val="Calibri"/>
        <charset val="1"/>
      </font>
      <fill>
        <patternFill>
          <bgColor rgb="FFFEF9E7"/>
        </patternFill>
      </fill>
    </dxf>
    <dxf>
      <font>
        <b/>
        <sz val="9"/>
        <color rgb="FF922B21"/>
        <name val="Calibri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1EC"/>
      <rgbColor rgb="FFFF00FF"/>
      <rgbColor rgb="FF00FFFF"/>
      <rgbColor rgb="FF800000"/>
      <rgbColor rgb="FF008000"/>
      <rgbColor rgb="FF000080"/>
      <rgbColor rgb="FF9A7D0A"/>
      <rgbColor rgb="FF800080"/>
      <rgbColor rgb="FF1E8449"/>
      <rgbColor rgb="FFCCCCCC"/>
      <rgbColor rgb="FF717D7E"/>
      <rgbColor rgb="FFF2F3F4"/>
      <rgbColor rgb="FF7D3C98"/>
      <rgbColor rgb="FFFEF9E7"/>
      <rgbColor rgb="FFD6EAF8"/>
      <rgbColor rgb="FF660066"/>
      <rgbColor rgb="FFCA6F1E"/>
      <rgbColor rgb="FF0066CC"/>
      <rgbColor rgb="FFE8DAEF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AF0F6"/>
      <rgbColor rgb="FFD5F5E3"/>
      <rgbColor rgb="FFFDEBD0"/>
      <rgbColor rgb="FFD6E4F0"/>
      <rgbColor rgb="FFF0EAD6"/>
      <rgbColor rgb="FFE0E0E0"/>
      <rgbColor rgb="FFFADBD8"/>
      <rgbColor rgb="FF2E86C1"/>
      <rgbColor rgb="FF33CCCC"/>
      <rgbColor rgb="FF99CC00"/>
      <rgbColor rgb="FFFDFEFE"/>
      <rgbColor rgb="FFF39C12"/>
      <rgbColor rgb="FFE74C3C"/>
      <rgbColor rgb="FF555555"/>
      <rgbColor rgb="FF969696"/>
      <rgbColor rgb="FF1A5276"/>
      <rgbColor rgb="FF27AE60"/>
      <rgbColor rgb="FF003300"/>
      <rgbColor rgb="FF444444"/>
      <rgbColor rgb="FF922B21"/>
      <rgbColor rgb="FF993366"/>
      <rgbColor rgb="FF2E4057"/>
      <rgbColor rgb="FF1C2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showGridLines="0" tabSelected="1" zoomScale="126" zoomScaleNormal="100" workbookViewId="0">
      <pane ySplit="3" topLeftCell="A29" activePane="bottomLeft" state="frozen"/>
      <selection pane="bottomLeft" activeCell="D29" sqref="D29:D38"/>
    </sheetView>
  </sheetViews>
  <sheetFormatPr defaultColWidth="8.7109375" defaultRowHeight="14.45"/>
  <cols>
    <col min="1" max="1" width="5" customWidth="1"/>
    <col min="2" max="2" width="14" customWidth="1"/>
    <col min="3" max="3" width="36" customWidth="1"/>
    <col min="4" max="5" width="13" customWidth="1"/>
    <col min="6" max="6" width="10" customWidth="1"/>
    <col min="7" max="7" width="18" customWidth="1"/>
    <col min="8" max="8" width="12" customWidth="1"/>
    <col min="9" max="11" width="10" customWidth="1"/>
    <col min="12" max="12" width="28" customWidth="1"/>
  </cols>
  <sheetData>
    <row r="1" spans="1:12" ht="31.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18" customHeight="1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9.5" customHeight="1">
      <c r="A4" s="2">
        <v>1</v>
      </c>
      <c r="B4" s="3" t="s">
        <v>14</v>
      </c>
      <c r="C4" s="4" t="s">
        <v>15</v>
      </c>
      <c r="D4" s="5">
        <v>46084</v>
      </c>
      <c r="E4" s="5">
        <v>46086</v>
      </c>
      <c r="F4" s="6">
        <f t="shared" ref="F4:F38" si="0">E4-D4</f>
        <v>2</v>
      </c>
      <c r="G4" s="7" t="s">
        <v>16</v>
      </c>
      <c r="H4" s="17" t="s">
        <v>17</v>
      </c>
      <c r="I4" s="9">
        <v>0.25</v>
      </c>
      <c r="J4" s="8" t="s">
        <v>18</v>
      </c>
      <c r="K4" s="10" t="s">
        <v>19</v>
      </c>
      <c r="L4" s="4"/>
    </row>
    <row r="5" spans="1:12" ht="19.5" customHeight="1">
      <c r="A5" s="11">
        <v>2</v>
      </c>
      <c r="B5" s="3" t="s">
        <v>14</v>
      </c>
      <c r="C5" s="12" t="s">
        <v>20</v>
      </c>
      <c r="D5" s="13">
        <v>46086</v>
      </c>
      <c r="E5" s="13">
        <v>46089</v>
      </c>
      <c r="F5" s="14">
        <f>E5-D5</f>
        <v>3</v>
      </c>
      <c r="G5" s="15" t="s">
        <v>21</v>
      </c>
      <c r="H5" s="17" t="s">
        <v>17</v>
      </c>
      <c r="I5" s="16">
        <v>0.25</v>
      </c>
      <c r="J5" s="8" t="s">
        <v>18</v>
      </c>
      <c r="K5" s="10" t="s">
        <v>19</v>
      </c>
      <c r="L5" s="12"/>
    </row>
    <row r="6" spans="1:12" ht="19.5" customHeight="1">
      <c r="A6" s="2">
        <v>3</v>
      </c>
      <c r="B6" s="3" t="s">
        <v>14</v>
      </c>
      <c r="C6" s="4" t="s">
        <v>22</v>
      </c>
      <c r="D6" s="5">
        <v>46089</v>
      </c>
      <c r="E6" s="5">
        <v>46096</v>
      </c>
      <c r="F6" s="6">
        <f t="shared" si="0"/>
        <v>7</v>
      </c>
      <c r="G6" s="7" t="s">
        <v>23</v>
      </c>
      <c r="H6" s="55" t="s">
        <v>17</v>
      </c>
      <c r="I6" s="9">
        <v>0.25</v>
      </c>
      <c r="J6" s="17" t="s">
        <v>24</v>
      </c>
      <c r="K6" s="10" t="s">
        <v>19</v>
      </c>
      <c r="L6" s="4"/>
    </row>
    <row r="7" spans="1:12" ht="19.5" customHeight="1">
      <c r="A7" s="11">
        <v>4</v>
      </c>
      <c r="B7" s="3" t="s">
        <v>14</v>
      </c>
      <c r="C7" s="12" t="s">
        <v>25</v>
      </c>
      <c r="D7" s="13">
        <v>46094</v>
      </c>
      <c r="E7" s="13">
        <v>46100</v>
      </c>
      <c r="F7" s="14">
        <f t="shared" si="0"/>
        <v>6</v>
      </c>
      <c r="G7" s="15" t="s">
        <v>26</v>
      </c>
      <c r="H7" s="17" t="s">
        <v>17</v>
      </c>
      <c r="I7" s="16">
        <v>0.25</v>
      </c>
      <c r="J7" s="17" t="s">
        <v>24</v>
      </c>
      <c r="K7" s="10" t="s">
        <v>19</v>
      </c>
      <c r="L7" s="12"/>
    </row>
    <row r="8" spans="1:12" ht="19.5" customHeight="1">
      <c r="A8" s="2">
        <v>5</v>
      </c>
      <c r="B8" s="3" t="s">
        <v>14</v>
      </c>
      <c r="C8" s="4" t="s">
        <v>27</v>
      </c>
      <c r="D8" s="5">
        <v>46098</v>
      </c>
      <c r="E8" s="5">
        <v>46102</v>
      </c>
      <c r="F8" s="6">
        <f t="shared" si="0"/>
        <v>4</v>
      </c>
      <c r="G8" s="7" t="s">
        <v>28</v>
      </c>
      <c r="H8" s="17" t="s">
        <v>17</v>
      </c>
      <c r="I8" s="9">
        <v>0.25</v>
      </c>
      <c r="J8" s="10" t="s">
        <v>29</v>
      </c>
      <c r="K8" s="10" t="s">
        <v>19</v>
      </c>
      <c r="L8" s="4"/>
    </row>
    <row r="9" spans="1:12" ht="19.5" customHeight="1">
      <c r="A9" s="11">
        <v>6</v>
      </c>
      <c r="B9" s="3" t="s">
        <v>14</v>
      </c>
      <c r="C9" s="12" t="s">
        <v>30</v>
      </c>
      <c r="D9" s="13">
        <v>46100</v>
      </c>
      <c r="E9" s="13">
        <v>46104</v>
      </c>
      <c r="F9" s="14">
        <f t="shared" si="0"/>
        <v>4</v>
      </c>
      <c r="G9" s="15" t="s">
        <v>31</v>
      </c>
      <c r="H9" s="17" t="s">
        <v>17</v>
      </c>
      <c r="I9" s="16">
        <v>0.25</v>
      </c>
      <c r="J9" s="10" t="s">
        <v>29</v>
      </c>
      <c r="K9" s="17" t="s">
        <v>32</v>
      </c>
      <c r="L9" s="12"/>
    </row>
    <row r="10" spans="1:12" ht="19.5" customHeight="1">
      <c r="A10" s="2">
        <v>7</v>
      </c>
      <c r="B10" s="19" t="s">
        <v>33</v>
      </c>
      <c r="C10" s="4" t="s">
        <v>34</v>
      </c>
      <c r="D10" s="5">
        <v>46102</v>
      </c>
      <c r="E10" s="5">
        <v>46108</v>
      </c>
      <c r="F10" s="6">
        <f t="shared" si="0"/>
        <v>6</v>
      </c>
      <c r="G10" s="7" t="s">
        <v>28</v>
      </c>
      <c r="H10" s="18" t="s">
        <v>35</v>
      </c>
      <c r="I10" s="9">
        <v>0</v>
      </c>
      <c r="J10" s="17" t="s">
        <v>24</v>
      </c>
      <c r="K10" s="10" t="s">
        <v>19</v>
      </c>
      <c r="L10" s="4"/>
    </row>
    <row r="11" spans="1:12" ht="19.5" customHeight="1">
      <c r="A11" s="11">
        <v>8</v>
      </c>
      <c r="B11" s="19" t="s">
        <v>33</v>
      </c>
      <c r="C11" s="12" t="s">
        <v>36</v>
      </c>
      <c r="D11" s="13">
        <v>46102</v>
      </c>
      <c r="E11" s="13">
        <v>46110</v>
      </c>
      <c r="F11" s="14">
        <f t="shared" si="0"/>
        <v>8</v>
      </c>
      <c r="G11" s="15" t="s">
        <v>26</v>
      </c>
      <c r="H11" s="18" t="s">
        <v>35</v>
      </c>
      <c r="I11" s="16">
        <v>0</v>
      </c>
      <c r="J11" s="10" t="s">
        <v>29</v>
      </c>
      <c r="K11" s="10" t="s">
        <v>19</v>
      </c>
      <c r="L11" s="12"/>
    </row>
    <row r="12" spans="1:12" ht="19.5" customHeight="1">
      <c r="A12" s="2">
        <v>9</v>
      </c>
      <c r="B12" s="19" t="s">
        <v>33</v>
      </c>
      <c r="C12" s="4" t="s">
        <v>37</v>
      </c>
      <c r="D12" s="5">
        <v>46104</v>
      </c>
      <c r="E12" s="5">
        <v>46114</v>
      </c>
      <c r="F12" s="6">
        <f t="shared" si="0"/>
        <v>10</v>
      </c>
      <c r="G12" s="7" t="s">
        <v>38</v>
      </c>
      <c r="H12" s="18" t="s">
        <v>35</v>
      </c>
      <c r="I12" s="9">
        <v>0</v>
      </c>
      <c r="J12" s="17" t="s">
        <v>24</v>
      </c>
      <c r="K12" s="10" t="s">
        <v>19</v>
      </c>
      <c r="L12" s="4"/>
    </row>
    <row r="13" spans="1:12" ht="19.5" customHeight="1">
      <c r="A13" s="11">
        <v>10</v>
      </c>
      <c r="B13" s="19" t="s">
        <v>33</v>
      </c>
      <c r="C13" s="12" t="s">
        <v>39</v>
      </c>
      <c r="D13" s="13">
        <v>46108</v>
      </c>
      <c r="E13" s="13">
        <v>46116</v>
      </c>
      <c r="F13" s="14">
        <f t="shared" si="0"/>
        <v>8</v>
      </c>
      <c r="G13" s="15" t="s">
        <v>40</v>
      </c>
      <c r="H13" s="18" t="s">
        <v>35</v>
      </c>
      <c r="I13" s="16">
        <v>0</v>
      </c>
      <c r="J13" s="17" t="s">
        <v>24</v>
      </c>
      <c r="K13" s="10" t="s">
        <v>19</v>
      </c>
      <c r="L13" s="12"/>
    </row>
    <row r="14" spans="1:12" ht="19.5" customHeight="1">
      <c r="A14" s="2">
        <v>11</v>
      </c>
      <c r="B14" s="19" t="s">
        <v>33</v>
      </c>
      <c r="C14" s="4" t="s">
        <v>41</v>
      </c>
      <c r="D14" s="5">
        <v>46112</v>
      </c>
      <c r="E14" s="5">
        <v>46120</v>
      </c>
      <c r="F14" s="6">
        <f t="shared" si="0"/>
        <v>8</v>
      </c>
      <c r="G14" s="7" t="s">
        <v>42</v>
      </c>
      <c r="H14" s="18" t="s">
        <v>35</v>
      </c>
      <c r="I14" s="9">
        <v>0</v>
      </c>
      <c r="J14" s="8" t="s">
        <v>18</v>
      </c>
      <c r="K14" s="17" t="s">
        <v>32</v>
      </c>
      <c r="L14" s="4"/>
    </row>
    <row r="15" spans="1:12" ht="19.5" customHeight="1">
      <c r="A15" s="11">
        <v>12</v>
      </c>
      <c r="B15" s="19" t="s">
        <v>33</v>
      </c>
      <c r="C15" s="12" t="s">
        <v>43</v>
      </c>
      <c r="D15" s="13">
        <v>46110</v>
      </c>
      <c r="E15" s="13">
        <v>46118</v>
      </c>
      <c r="F15" s="14">
        <f t="shared" si="0"/>
        <v>8</v>
      </c>
      <c r="G15" s="15" t="s">
        <v>44</v>
      </c>
      <c r="H15" s="18" t="s">
        <v>35</v>
      </c>
      <c r="I15" s="16">
        <v>0</v>
      </c>
      <c r="J15" s="10" t="s">
        <v>29</v>
      </c>
      <c r="K15" s="10" t="s">
        <v>19</v>
      </c>
      <c r="L15" s="12"/>
    </row>
    <row r="16" spans="1:12" ht="19.5" customHeight="1">
      <c r="A16" s="2">
        <v>13</v>
      </c>
      <c r="B16" s="20" t="s">
        <v>45</v>
      </c>
      <c r="C16" s="4" t="s">
        <v>46</v>
      </c>
      <c r="D16" s="5">
        <v>46118</v>
      </c>
      <c r="E16" s="5">
        <v>46122</v>
      </c>
      <c r="F16" s="6">
        <f t="shared" si="0"/>
        <v>4</v>
      </c>
      <c r="G16" s="7" t="s">
        <v>47</v>
      </c>
      <c r="H16" s="18" t="s">
        <v>35</v>
      </c>
      <c r="I16" s="9">
        <v>0</v>
      </c>
      <c r="J16" s="17" t="s">
        <v>24</v>
      </c>
      <c r="K16" s="10" t="s">
        <v>19</v>
      </c>
      <c r="L16" s="4"/>
    </row>
    <row r="17" spans="1:12" ht="19.5" customHeight="1">
      <c r="A17" s="11">
        <v>14</v>
      </c>
      <c r="B17" s="20" t="s">
        <v>45</v>
      </c>
      <c r="C17" s="12" t="s">
        <v>48</v>
      </c>
      <c r="D17" s="13">
        <v>46122</v>
      </c>
      <c r="E17" s="13">
        <v>46134</v>
      </c>
      <c r="F17" s="14">
        <f t="shared" si="0"/>
        <v>12</v>
      </c>
      <c r="G17" s="15" t="s">
        <v>49</v>
      </c>
      <c r="H17" s="18" t="s">
        <v>35</v>
      </c>
      <c r="I17" s="16">
        <v>0</v>
      </c>
      <c r="J17" s="10" t="s">
        <v>29</v>
      </c>
      <c r="K17" s="10" t="s">
        <v>19</v>
      </c>
      <c r="L17" s="12"/>
    </row>
    <row r="18" spans="1:12" ht="19.5" customHeight="1">
      <c r="A18" s="2">
        <v>15</v>
      </c>
      <c r="B18" s="20" t="s">
        <v>45</v>
      </c>
      <c r="C18" s="4" t="s">
        <v>50</v>
      </c>
      <c r="D18" s="5">
        <v>46132</v>
      </c>
      <c r="E18" s="5">
        <v>46146</v>
      </c>
      <c r="F18" s="6">
        <f t="shared" si="0"/>
        <v>14</v>
      </c>
      <c r="G18" s="7" t="s">
        <v>51</v>
      </c>
      <c r="H18" s="18" t="s">
        <v>35</v>
      </c>
      <c r="I18" s="9">
        <v>0</v>
      </c>
      <c r="J18" s="17" t="s">
        <v>24</v>
      </c>
      <c r="K18" s="10" t="s">
        <v>19</v>
      </c>
      <c r="L18" s="4"/>
    </row>
    <row r="19" spans="1:12" ht="19.5" customHeight="1">
      <c r="A19" s="11">
        <v>16</v>
      </c>
      <c r="B19" s="20" t="s">
        <v>45</v>
      </c>
      <c r="C19" s="12" t="s">
        <v>52</v>
      </c>
      <c r="D19" s="13">
        <v>46144</v>
      </c>
      <c r="E19" s="13">
        <v>46160</v>
      </c>
      <c r="F19" s="14">
        <f t="shared" si="0"/>
        <v>16</v>
      </c>
      <c r="G19" s="15" t="s">
        <v>53</v>
      </c>
      <c r="H19" s="18" t="s">
        <v>35</v>
      </c>
      <c r="I19" s="16">
        <v>0</v>
      </c>
      <c r="J19" s="10" t="s">
        <v>29</v>
      </c>
      <c r="K19" s="10" t="s">
        <v>19</v>
      </c>
      <c r="L19" s="12"/>
    </row>
    <row r="20" spans="1:12" ht="19.5" customHeight="1">
      <c r="A20" s="2">
        <v>17</v>
      </c>
      <c r="B20" s="20" t="s">
        <v>45</v>
      </c>
      <c r="C20" s="4" t="s">
        <v>54</v>
      </c>
      <c r="D20" s="5">
        <v>46158</v>
      </c>
      <c r="E20" s="5">
        <v>46170</v>
      </c>
      <c r="F20" s="6">
        <f t="shared" si="0"/>
        <v>12</v>
      </c>
      <c r="G20" s="7" t="s">
        <v>55</v>
      </c>
      <c r="H20" s="18" t="s">
        <v>35</v>
      </c>
      <c r="I20" s="9">
        <v>0</v>
      </c>
      <c r="J20" s="10" t="s">
        <v>29</v>
      </c>
      <c r="K20" s="10" t="s">
        <v>19</v>
      </c>
      <c r="L20" s="4"/>
    </row>
    <row r="21" spans="1:12" ht="19.5" customHeight="1">
      <c r="A21" s="11">
        <v>18</v>
      </c>
      <c r="B21" s="20" t="s">
        <v>45</v>
      </c>
      <c r="C21" s="12" t="s">
        <v>56</v>
      </c>
      <c r="D21" s="13">
        <v>46122</v>
      </c>
      <c r="E21" s="13">
        <v>46138</v>
      </c>
      <c r="F21" s="14">
        <f t="shared" si="0"/>
        <v>16</v>
      </c>
      <c r="G21" s="15" t="s">
        <v>57</v>
      </c>
      <c r="H21" s="18" t="s">
        <v>35</v>
      </c>
      <c r="I21" s="16">
        <v>0</v>
      </c>
      <c r="J21" s="17" t="s">
        <v>24</v>
      </c>
      <c r="K21" s="10" t="s">
        <v>19</v>
      </c>
      <c r="L21" s="12"/>
    </row>
    <row r="22" spans="1:12" ht="19.5" customHeight="1">
      <c r="A22" s="2">
        <v>19</v>
      </c>
      <c r="B22" s="20" t="s">
        <v>45</v>
      </c>
      <c r="C22" s="4" t="s">
        <v>58</v>
      </c>
      <c r="D22" s="5">
        <v>46136</v>
      </c>
      <c r="E22" s="5">
        <v>46150</v>
      </c>
      <c r="F22" s="6">
        <f t="shared" si="0"/>
        <v>14</v>
      </c>
      <c r="G22" s="7" t="s">
        <v>59</v>
      </c>
      <c r="H22" s="18" t="s">
        <v>35</v>
      </c>
      <c r="I22" s="9">
        <v>0</v>
      </c>
      <c r="J22" s="17" t="s">
        <v>24</v>
      </c>
      <c r="K22" s="10" t="s">
        <v>19</v>
      </c>
      <c r="L22" s="4"/>
    </row>
    <row r="23" spans="1:12" ht="19.5" customHeight="1">
      <c r="A23" s="11">
        <v>20</v>
      </c>
      <c r="B23" s="20" t="s">
        <v>45</v>
      </c>
      <c r="C23" s="12" t="s">
        <v>60</v>
      </c>
      <c r="D23" s="13">
        <v>46148</v>
      </c>
      <c r="E23" s="13">
        <v>46162</v>
      </c>
      <c r="F23" s="14">
        <f t="shared" si="0"/>
        <v>14</v>
      </c>
      <c r="G23" s="15" t="s">
        <v>61</v>
      </c>
      <c r="H23" s="18" t="s">
        <v>35</v>
      </c>
      <c r="I23" s="16">
        <v>0</v>
      </c>
      <c r="J23" s="17" t="s">
        <v>24</v>
      </c>
      <c r="K23" s="10" t="s">
        <v>19</v>
      </c>
      <c r="L23" s="12"/>
    </row>
    <row r="24" spans="1:12" ht="19.5" customHeight="1">
      <c r="A24" s="2">
        <v>21</v>
      </c>
      <c r="B24" s="20" t="s">
        <v>45</v>
      </c>
      <c r="C24" s="4" t="s">
        <v>62</v>
      </c>
      <c r="D24" s="5">
        <v>46150</v>
      </c>
      <c r="E24" s="5">
        <v>46160</v>
      </c>
      <c r="F24" s="6">
        <f t="shared" si="0"/>
        <v>10</v>
      </c>
      <c r="G24" s="7" t="s">
        <v>63</v>
      </c>
      <c r="H24" s="18" t="s">
        <v>35</v>
      </c>
      <c r="I24" s="9">
        <v>0</v>
      </c>
      <c r="J24" s="17" t="s">
        <v>24</v>
      </c>
      <c r="K24" s="17" t="s">
        <v>32</v>
      </c>
      <c r="L24" s="4"/>
    </row>
    <row r="25" spans="1:12" ht="19.5" customHeight="1">
      <c r="A25" s="11">
        <v>22</v>
      </c>
      <c r="B25" s="20" t="s">
        <v>45</v>
      </c>
      <c r="C25" s="12" t="s">
        <v>64</v>
      </c>
      <c r="D25" s="13">
        <v>46160</v>
      </c>
      <c r="E25" s="13">
        <v>46170</v>
      </c>
      <c r="F25" s="14">
        <f t="shared" si="0"/>
        <v>10</v>
      </c>
      <c r="G25" s="15" t="s">
        <v>65</v>
      </c>
      <c r="H25" s="18" t="s">
        <v>35</v>
      </c>
      <c r="I25" s="16">
        <v>0</v>
      </c>
      <c r="J25" s="8" t="s">
        <v>18</v>
      </c>
      <c r="K25" s="17" t="s">
        <v>32</v>
      </c>
      <c r="L25" s="12"/>
    </row>
    <row r="26" spans="1:12" ht="19.5" customHeight="1">
      <c r="A26" s="2">
        <v>23</v>
      </c>
      <c r="B26" s="20" t="s">
        <v>45</v>
      </c>
      <c r="C26" s="4" t="s">
        <v>66</v>
      </c>
      <c r="D26" s="5">
        <v>46164</v>
      </c>
      <c r="E26" s="5">
        <v>46172</v>
      </c>
      <c r="F26" s="6">
        <f t="shared" si="0"/>
        <v>8</v>
      </c>
      <c r="G26" s="7" t="s">
        <v>53</v>
      </c>
      <c r="H26" s="18" t="s">
        <v>35</v>
      </c>
      <c r="I26" s="9">
        <v>0</v>
      </c>
      <c r="J26" s="8" t="s">
        <v>18</v>
      </c>
      <c r="K26" s="17" t="s">
        <v>32</v>
      </c>
      <c r="L26" s="4"/>
    </row>
    <row r="27" spans="1:12" ht="19.5" customHeight="1">
      <c r="A27" s="11">
        <v>24</v>
      </c>
      <c r="B27" s="21" t="s">
        <v>67</v>
      </c>
      <c r="C27" s="12" t="s">
        <v>68</v>
      </c>
      <c r="D27" s="13">
        <v>46168</v>
      </c>
      <c r="E27" s="13">
        <v>46172</v>
      </c>
      <c r="F27" s="14">
        <f t="shared" si="0"/>
        <v>4</v>
      </c>
      <c r="G27" s="15" t="s">
        <v>69</v>
      </c>
      <c r="H27" s="18" t="s">
        <v>35</v>
      </c>
      <c r="I27" s="16">
        <v>0</v>
      </c>
      <c r="J27" s="17" t="s">
        <v>24</v>
      </c>
      <c r="K27" s="10" t="s">
        <v>19</v>
      </c>
      <c r="L27" s="12"/>
    </row>
    <row r="28" spans="1:12" ht="19.5" customHeight="1">
      <c r="A28" s="2">
        <v>26</v>
      </c>
      <c r="B28" s="21" t="s">
        <v>67</v>
      </c>
      <c r="C28" s="4" t="s">
        <v>70</v>
      </c>
      <c r="D28" s="5">
        <v>46170</v>
      </c>
      <c r="E28" s="5">
        <v>46178</v>
      </c>
      <c r="F28" s="6">
        <f t="shared" si="0"/>
        <v>8</v>
      </c>
      <c r="G28" s="7" t="s">
        <v>71</v>
      </c>
      <c r="H28" s="18" t="s">
        <v>35</v>
      </c>
      <c r="I28" s="9">
        <v>0</v>
      </c>
      <c r="J28" s="17" t="s">
        <v>24</v>
      </c>
      <c r="K28" s="10" t="s">
        <v>19</v>
      </c>
      <c r="L28" s="4"/>
    </row>
    <row r="29" spans="1:12" ht="19.5" customHeight="1">
      <c r="A29" s="11">
        <v>26</v>
      </c>
      <c r="B29" s="21" t="s">
        <v>67</v>
      </c>
      <c r="C29" s="12" t="s">
        <v>72</v>
      </c>
      <c r="D29" s="56">
        <v>46176</v>
      </c>
      <c r="E29" s="13">
        <v>46184</v>
      </c>
      <c r="F29" s="14">
        <f t="shared" si="0"/>
        <v>8</v>
      </c>
      <c r="G29" s="15" t="s">
        <v>73</v>
      </c>
      <c r="H29" s="18" t="s">
        <v>35</v>
      </c>
      <c r="I29" s="16">
        <v>0</v>
      </c>
      <c r="J29" s="17" t="s">
        <v>24</v>
      </c>
      <c r="K29" s="10" t="s">
        <v>19</v>
      </c>
      <c r="L29" s="12"/>
    </row>
    <row r="30" spans="1:12" ht="19.5" customHeight="1">
      <c r="A30" s="2">
        <v>27</v>
      </c>
      <c r="B30" s="21" t="s">
        <v>67</v>
      </c>
      <c r="C30" s="4" t="s">
        <v>74</v>
      </c>
      <c r="D30" s="56">
        <v>46177</v>
      </c>
      <c r="E30" s="5">
        <v>46184</v>
      </c>
      <c r="F30" s="6">
        <f t="shared" si="0"/>
        <v>7</v>
      </c>
      <c r="G30" s="7" t="s">
        <v>75</v>
      </c>
      <c r="H30" s="18" t="s">
        <v>35</v>
      </c>
      <c r="I30" s="9">
        <v>0</v>
      </c>
      <c r="J30" s="8" t="s">
        <v>18</v>
      </c>
      <c r="K30" s="17" t="s">
        <v>32</v>
      </c>
      <c r="L30" s="4"/>
    </row>
    <row r="31" spans="1:12" ht="19.5" customHeight="1">
      <c r="A31" s="11">
        <v>28</v>
      </c>
      <c r="B31" s="21" t="s">
        <v>67</v>
      </c>
      <c r="C31" s="12" t="s">
        <v>76</v>
      </c>
      <c r="D31" s="56">
        <v>46178</v>
      </c>
      <c r="E31" s="13">
        <v>46190</v>
      </c>
      <c r="F31" s="14">
        <f t="shared" si="0"/>
        <v>12</v>
      </c>
      <c r="G31" s="15" t="s">
        <v>77</v>
      </c>
      <c r="H31" s="18" t="s">
        <v>35</v>
      </c>
      <c r="I31" s="16">
        <v>0</v>
      </c>
      <c r="J31" s="10" t="s">
        <v>29</v>
      </c>
      <c r="K31" s="10" t="s">
        <v>19</v>
      </c>
      <c r="L31" s="12"/>
    </row>
    <row r="32" spans="1:12" ht="19.5" customHeight="1">
      <c r="A32" s="2">
        <v>29</v>
      </c>
      <c r="B32" s="21" t="s">
        <v>67</v>
      </c>
      <c r="C32" s="4" t="s">
        <v>78</v>
      </c>
      <c r="D32" s="56">
        <v>46179</v>
      </c>
      <c r="E32" s="5">
        <v>46192</v>
      </c>
      <c r="F32" s="6">
        <f t="shared" si="0"/>
        <v>13</v>
      </c>
      <c r="G32" s="7" t="s">
        <v>79</v>
      </c>
      <c r="H32" s="18" t="s">
        <v>35</v>
      </c>
      <c r="I32" s="9">
        <v>0</v>
      </c>
      <c r="J32" s="10" t="s">
        <v>29</v>
      </c>
      <c r="K32" s="10" t="s">
        <v>19</v>
      </c>
      <c r="L32" s="4"/>
    </row>
    <row r="33" spans="1:12" ht="19.5" customHeight="1">
      <c r="A33" s="11">
        <v>30</v>
      </c>
      <c r="B33" s="21" t="s">
        <v>67</v>
      </c>
      <c r="C33" s="12" t="s">
        <v>80</v>
      </c>
      <c r="D33" s="56">
        <v>46180</v>
      </c>
      <c r="E33" s="13">
        <v>46199</v>
      </c>
      <c r="F33" s="14">
        <f t="shared" si="0"/>
        <v>19</v>
      </c>
      <c r="G33" s="15" t="s">
        <v>81</v>
      </c>
      <c r="H33" s="18" t="s">
        <v>35</v>
      </c>
      <c r="I33" s="16">
        <v>0</v>
      </c>
      <c r="J33" s="10" t="s">
        <v>29</v>
      </c>
      <c r="K33" s="10" t="s">
        <v>19</v>
      </c>
      <c r="L33" s="12"/>
    </row>
    <row r="34" spans="1:12" ht="19.5" customHeight="1">
      <c r="A34" s="2">
        <v>31</v>
      </c>
      <c r="B34" s="21" t="s">
        <v>67</v>
      </c>
      <c r="C34" s="4" t="s">
        <v>82</v>
      </c>
      <c r="D34" s="56">
        <v>46181</v>
      </c>
      <c r="E34" s="5">
        <v>46204</v>
      </c>
      <c r="F34" s="6">
        <f t="shared" si="0"/>
        <v>23</v>
      </c>
      <c r="G34" s="7" t="s">
        <v>83</v>
      </c>
      <c r="H34" s="18" t="s">
        <v>35</v>
      </c>
      <c r="I34" s="9">
        <v>0</v>
      </c>
      <c r="J34" s="17" t="s">
        <v>24</v>
      </c>
      <c r="K34" s="10" t="s">
        <v>19</v>
      </c>
      <c r="L34" s="4"/>
    </row>
    <row r="35" spans="1:12" ht="19.5" customHeight="1">
      <c r="A35" s="11">
        <v>32</v>
      </c>
      <c r="B35" s="22" t="s">
        <v>84</v>
      </c>
      <c r="C35" s="12" t="s">
        <v>85</v>
      </c>
      <c r="D35" s="56">
        <v>46182</v>
      </c>
      <c r="E35" s="13">
        <v>46204</v>
      </c>
      <c r="F35" s="14">
        <f t="shared" si="0"/>
        <v>22</v>
      </c>
      <c r="G35" s="15" t="s">
        <v>16</v>
      </c>
      <c r="H35" s="18" t="s">
        <v>35</v>
      </c>
      <c r="I35" s="16">
        <v>0.25</v>
      </c>
      <c r="J35" s="8" t="s">
        <v>18</v>
      </c>
      <c r="K35" s="10" t="s">
        <v>19</v>
      </c>
      <c r="L35" s="12"/>
    </row>
    <row r="36" spans="1:12" ht="19.5" customHeight="1">
      <c r="A36" s="2">
        <v>33</v>
      </c>
      <c r="B36" s="22" t="s">
        <v>84</v>
      </c>
      <c r="C36" s="4" t="s">
        <v>86</v>
      </c>
      <c r="D36" s="56">
        <v>46183</v>
      </c>
      <c r="E36" s="5">
        <v>46202</v>
      </c>
      <c r="F36" s="6">
        <f t="shared" si="0"/>
        <v>19</v>
      </c>
      <c r="G36" s="7" t="s">
        <v>87</v>
      </c>
      <c r="H36" s="18" t="s">
        <v>35</v>
      </c>
      <c r="I36" s="9">
        <v>0</v>
      </c>
      <c r="J36" s="8" t="s">
        <v>18</v>
      </c>
      <c r="K36" s="17" t="s">
        <v>32</v>
      </c>
      <c r="L36" s="4"/>
    </row>
    <row r="37" spans="1:12" ht="19.5" customHeight="1">
      <c r="A37" s="11">
        <v>34</v>
      </c>
      <c r="B37" s="22" t="s">
        <v>84</v>
      </c>
      <c r="C37" s="12" t="s">
        <v>88</v>
      </c>
      <c r="D37" s="56">
        <v>46184</v>
      </c>
      <c r="E37" s="13">
        <v>46206</v>
      </c>
      <c r="F37" s="14">
        <f t="shared" si="0"/>
        <v>22</v>
      </c>
      <c r="G37" s="15" t="s">
        <v>89</v>
      </c>
      <c r="H37" s="18" t="s">
        <v>35</v>
      </c>
      <c r="I37" s="16">
        <v>0</v>
      </c>
      <c r="J37" s="10" t="s">
        <v>29</v>
      </c>
      <c r="K37" s="10" t="s">
        <v>19</v>
      </c>
      <c r="L37" s="12"/>
    </row>
    <row r="38" spans="1:12" ht="19.5" customHeight="1">
      <c r="A38" s="2">
        <v>35</v>
      </c>
      <c r="B38" s="22" t="s">
        <v>84</v>
      </c>
      <c r="C38" s="4" t="s">
        <v>90</v>
      </c>
      <c r="D38" s="56">
        <v>46185</v>
      </c>
      <c r="E38" s="5">
        <v>46210</v>
      </c>
      <c r="F38" s="6">
        <f t="shared" si="0"/>
        <v>25</v>
      </c>
      <c r="G38" s="7" t="s">
        <v>91</v>
      </c>
      <c r="H38" s="18" t="s">
        <v>35</v>
      </c>
      <c r="I38" s="9">
        <v>0</v>
      </c>
      <c r="J38" s="8" t="s">
        <v>18</v>
      </c>
      <c r="K38" s="10" t="s">
        <v>19</v>
      </c>
      <c r="L38" s="4"/>
    </row>
    <row r="40" spans="1:12" ht="21.75" customHeight="1">
      <c r="A40" s="59" t="s">
        <v>92</v>
      </c>
      <c r="B40" s="59"/>
      <c r="C40" s="59"/>
      <c r="D40" s="24">
        <f>COUNTA(A4:A38)</f>
        <v>35</v>
      </c>
      <c r="E40" s="23" t="s">
        <v>93</v>
      </c>
      <c r="F40" s="24">
        <f>COUNTIF(H4:H38,"Finalizado")</f>
        <v>0</v>
      </c>
      <c r="G40" s="54" t="s">
        <v>94</v>
      </c>
      <c r="H40" s="24">
        <f>COUNTIF(H4:H38,"En curso")</f>
        <v>6</v>
      </c>
      <c r="I40" s="54" t="s">
        <v>95</v>
      </c>
      <c r="J40" s="25">
        <f>AVERAGE(I4:I38)</f>
        <v>0.05</v>
      </c>
    </row>
    <row r="42" spans="1:12" ht="18" customHeight="1">
      <c r="A42" s="60" t="s">
        <v>96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</row>
    <row r="43" spans="1:12" ht="24" customHeight="1">
      <c r="A43" s="26" t="s">
        <v>97</v>
      </c>
      <c r="B43" s="27" t="s">
        <v>98</v>
      </c>
      <c r="C43" s="28" t="s">
        <v>99</v>
      </c>
    </row>
  </sheetData>
  <mergeCells count="4">
    <mergeCell ref="A1:L1"/>
    <mergeCell ref="A2:L2"/>
    <mergeCell ref="A40:C40"/>
    <mergeCell ref="A42:L42"/>
  </mergeCells>
  <conditionalFormatting sqref="I4:I38">
    <cfRule type="expression" dxfId="2" priority="2">
      <formula>AND(E4&lt;TODAY(),I4&lt;0.5)</formula>
    </cfRule>
    <cfRule type="expression" dxfId="1" priority="3">
      <formula>AND(I4&gt;=0.5,I4&lt;0.75)</formula>
    </cfRule>
    <cfRule type="expression" dxfId="0" priority="4">
      <formula>I4&gt;=0.75</formula>
    </cfRule>
  </conditionalFormatting>
  <dataValidations count="1">
    <dataValidation type="list" showErrorMessage="1" errorTitle="Valor inválido" error="Seleccione: 0%, 25%, 50%, 75% o 100%" sqref="I4:I38" xr:uid="{00000000-0002-0000-0000-000000000000}">
      <formula1>"0%,25%,50%,75%,100%"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2"/>
  <sheetViews>
    <sheetView showGridLines="0" zoomScale="116" zoomScaleNormal="100" workbookViewId="0">
      <pane xSplit="2" ySplit="4" topLeftCell="C5" activePane="bottomRight" state="frozen"/>
      <selection pane="bottomRight" activeCell="AE8" sqref="AE8"/>
      <selection pane="bottomLeft" activeCell="A5" sqref="A5"/>
      <selection pane="topRight" activeCell="C1" sqref="C1"/>
    </sheetView>
  </sheetViews>
  <sheetFormatPr defaultColWidth="8.7109375" defaultRowHeight="14.45"/>
  <cols>
    <col min="1" max="1" width="4" customWidth="1"/>
    <col min="2" max="2" width="30.140625" customWidth="1"/>
    <col min="3" max="3" width="5.140625" customWidth="1"/>
    <col min="4" max="14" width="4.42578125" customWidth="1"/>
    <col min="15" max="15" width="4.5703125" customWidth="1"/>
    <col min="16" max="20" width="4.42578125" customWidth="1"/>
    <col min="21" max="21" width="4.7109375" customWidth="1"/>
    <col min="22" max="26" width="4.42578125" customWidth="1"/>
    <col min="27" max="27" width="4" customWidth="1"/>
    <col min="28" max="28" width="4.42578125" customWidth="1"/>
  </cols>
  <sheetData>
    <row r="1" spans="1:29" ht="30" customHeight="1">
      <c r="A1" s="61" t="s">
        <v>100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spans="1:29" ht="15.75" customHeight="1">
      <c r="A2" s="58" t="s">
        <v>101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1:29" ht="15.75" customHeight="1">
      <c r="A3" s="29" t="s">
        <v>2</v>
      </c>
      <c r="B3" s="29" t="s">
        <v>102</v>
      </c>
      <c r="C3" s="63">
        <v>46082</v>
      </c>
      <c r="D3" s="64"/>
      <c r="E3" s="64"/>
      <c r="F3" s="64"/>
      <c r="G3" s="64"/>
      <c r="H3" s="65"/>
      <c r="I3" s="66" t="s">
        <v>103</v>
      </c>
      <c r="J3" s="67"/>
      <c r="K3" s="67"/>
      <c r="L3" s="67"/>
      <c r="M3" s="67"/>
      <c r="N3" s="68"/>
      <c r="O3" s="63">
        <v>46143</v>
      </c>
      <c r="P3" s="64"/>
      <c r="Q3" s="64"/>
      <c r="R3" s="64"/>
      <c r="S3" s="64"/>
      <c r="T3" s="65"/>
      <c r="U3" s="63">
        <v>46174</v>
      </c>
      <c r="V3" s="64"/>
      <c r="W3" s="64"/>
      <c r="X3" s="64"/>
      <c r="Y3" s="64"/>
      <c r="Z3" s="65"/>
      <c r="AA3" s="63">
        <v>46204</v>
      </c>
      <c r="AB3" s="65"/>
    </row>
    <row r="4" spans="1:29" ht="13.5" customHeight="1">
      <c r="A4" s="29"/>
      <c r="B4" s="29"/>
      <c r="C4" s="30" t="s">
        <v>104</v>
      </c>
      <c r="D4" s="30" t="s">
        <v>105</v>
      </c>
      <c r="E4" s="30" t="s">
        <v>106</v>
      </c>
      <c r="F4" s="30" t="s">
        <v>107</v>
      </c>
      <c r="G4" s="30" t="s">
        <v>108</v>
      </c>
      <c r="H4" s="30" t="s">
        <v>109</v>
      </c>
      <c r="I4" s="30" t="s">
        <v>110</v>
      </c>
      <c r="J4" s="30" t="s">
        <v>111</v>
      </c>
      <c r="K4" s="30" t="s">
        <v>112</v>
      </c>
      <c r="L4" s="30" t="s">
        <v>113</v>
      </c>
      <c r="M4" s="30" t="s">
        <v>114</v>
      </c>
      <c r="N4" s="30" t="s">
        <v>115</v>
      </c>
      <c r="O4" s="30" t="s">
        <v>116</v>
      </c>
      <c r="P4" s="30" t="s">
        <v>117</v>
      </c>
      <c r="Q4" s="30" t="s">
        <v>118</v>
      </c>
      <c r="R4" s="30" t="s">
        <v>119</v>
      </c>
      <c r="S4" s="30" t="s">
        <v>120</v>
      </c>
      <c r="T4" s="30" t="s">
        <v>121</v>
      </c>
      <c r="U4" s="30" t="s">
        <v>122</v>
      </c>
      <c r="V4" s="30" t="s">
        <v>123</v>
      </c>
      <c r="W4" s="30" t="s">
        <v>124</v>
      </c>
      <c r="X4" s="30" t="s">
        <v>125</v>
      </c>
      <c r="Y4" s="30" t="s">
        <v>126</v>
      </c>
      <c r="Z4" s="30" t="s">
        <v>127</v>
      </c>
      <c r="AA4" s="30" t="s">
        <v>128</v>
      </c>
      <c r="AB4" s="30" t="s">
        <v>129</v>
      </c>
    </row>
    <row r="5" spans="1:29" ht="13.5" customHeight="1">
      <c r="A5" s="31">
        <v>1</v>
      </c>
      <c r="B5" s="32" t="s">
        <v>130</v>
      </c>
      <c r="C5" s="33" t="s">
        <v>131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9" ht="13.5" customHeight="1">
      <c r="A6" s="31">
        <v>2</v>
      </c>
      <c r="B6" s="35" t="s">
        <v>132</v>
      </c>
      <c r="C6" s="33" t="s">
        <v>131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spans="1:29" ht="13.5" customHeight="1">
      <c r="A7" s="31">
        <v>3</v>
      </c>
      <c r="B7" s="32" t="s">
        <v>133</v>
      </c>
      <c r="C7" s="34"/>
      <c r="D7" s="33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9" ht="13.5" customHeight="1">
      <c r="A8" s="31">
        <v>4</v>
      </c>
      <c r="B8" s="35" t="s">
        <v>134</v>
      </c>
      <c r="C8" s="36"/>
      <c r="D8" s="36"/>
      <c r="E8" s="33"/>
      <c r="F8" s="37" t="s">
        <v>135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pans="1:29" ht="13.5" customHeight="1">
      <c r="A9" s="31">
        <v>5</v>
      </c>
      <c r="B9" s="32" t="s">
        <v>136</v>
      </c>
      <c r="C9" s="34"/>
      <c r="D9" s="34"/>
      <c r="E9" s="33"/>
      <c r="F9" s="33" t="s">
        <v>131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9" ht="13.5" customHeight="1">
      <c r="A10" s="31">
        <v>6</v>
      </c>
      <c r="B10" s="35" t="s">
        <v>137</v>
      </c>
      <c r="C10" s="36"/>
      <c r="D10" s="36"/>
      <c r="E10" s="36"/>
      <c r="F10" s="37" t="s">
        <v>135</v>
      </c>
      <c r="G10" s="37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9" ht="13.5" customHeight="1">
      <c r="A11" s="38">
        <v>7</v>
      </c>
      <c r="B11" s="39" t="s">
        <v>138</v>
      </c>
      <c r="C11" s="34"/>
      <c r="D11" s="34"/>
      <c r="E11" s="34"/>
      <c r="F11" s="40" t="s">
        <v>135</v>
      </c>
      <c r="G11" s="40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9" ht="13.5" customHeight="1">
      <c r="A12" s="38">
        <v>8</v>
      </c>
      <c r="B12" s="41" t="s">
        <v>139</v>
      </c>
      <c r="C12" s="36"/>
      <c r="D12" s="36"/>
      <c r="E12" s="36"/>
      <c r="F12" s="40" t="s">
        <v>135</v>
      </c>
      <c r="G12" s="40"/>
      <c r="H12" s="40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spans="1:29" ht="13.5" customHeight="1">
      <c r="A13" s="38">
        <v>9</v>
      </c>
      <c r="B13" s="39" t="s">
        <v>140</v>
      </c>
      <c r="C13" s="34"/>
      <c r="D13" s="34"/>
      <c r="E13" s="34"/>
      <c r="F13" s="34"/>
      <c r="G13" s="40"/>
      <c r="H13" s="40"/>
      <c r="I13" s="40" t="s">
        <v>135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9" ht="13.5" customHeight="1">
      <c r="A14" s="38">
        <v>10</v>
      </c>
      <c r="B14" s="41" t="s">
        <v>141</v>
      </c>
      <c r="C14" s="36"/>
      <c r="D14" s="36"/>
      <c r="E14" s="36"/>
      <c r="F14" s="36"/>
      <c r="G14" s="40"/>
      <c r="H14" s="40"/>
      <c r="I14" s="40" t="s">
        <v>135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spans="1:29" ht="13.5" customHeight="1">
      <c r="A15" s="38">
        <v>11</v>
      </c>
      <c r="B15" s="39" t="s">
        <v>142</v>
      </c>
      <c r="C15" s="34"/>
      <c r="D15" s="34"/>
      <c r="E15" s="34"/>
      <c r="F15" s="34"/>
      <c r="G15" s="34"/>
      <c r="H15" s="40"/>
      <c r="I15" s="40" t="s">
        <v>135</v>
      </c>
      <c r="J15" s="4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9" ht="13.5" customHeight="1">
      <c r="A16" s="38">
        <v>12</v>
      </c>
      <c r="B16" s="41" t="s">
        <v>143</v>
      </c>
      <c r="C16" s="36"/>
      <c r="D16" s="36"/>
      <c r="E16" s="36"/>
      <c r="F16" s="36"/>
      <c r="G16" s="36"/>
      <c r="H16" s="40"/>
      <c r="I16" s="40" t="s">
        <v>135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spans="1:28" ht="13.5" customHeight="1">
      <c r="A17" s="42">
        <v>13</v>
      </c>
      <c r="B17" s="43" t="s">
        <v>144</v>
      </c>
      <c r="C17" s="34"/>
      <c r="D17" s="34"/>
      <c r="E17" s="34"/>
      <c r="F17" s="34"/>
      <c r="G17" s="34"/>
      <c r="H17" s="34"/>
      <c r="I17" s="44" t="s">
        <v>135</v>
      </c>
      <c r="J17" s="4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13.5" customHeight="1">
      <c r="A18" s="42">
        <v>14</v>
      </c>
      <c r="B18" s="45" t="s">
        <v>145</v>
      </c>
      <c r="C18" s="36"/>
      <c r="D18" s="36"/>
      <c r="E18" s="36"/>
      <c r="F18" s="36"/>
      <c r="G18" s="36"/>
      <c r="H18" s="36"/>
      <c r="I18" s="36"/>
      <c r="J18" s="44"/>
      <c r="K18" s="44"/>
      <c r="L18" s="44" t="s">
        <v>135</v>
      </c>
      <c r="M18" s="44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spans="1:28" ht="13.5" customHeight="1">
      <c r="A19" s="42">
        <v>15</v>
      </c>
      <c r="B19" s="43" t="s">
        <v>146</v>
      </c>
      <c r="C19" s="34"/>
      <c r="D19" s="34"/>
      <c r="E19" s="34"/>
      <c r="F19" s="34"/>
      <c r="G19" s="34"/>
      <c r="H19" s="34"/>
      <c r="I19" s="34"/>
      <c r="J19" s="34"/>
      <c r="K19" s="34"/>
      <c r="L19" s="44" t="s">
        <v>135</v>
      </c>
      <c r="M19" s="44"/>
      <c r="N19" s="44"/>
      <c r="O19" s="44" t="s">
        <v>135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13.5" customHeight="1">
      <c r="A20" s="42">
        <v>16</v>
      </c>
      <c r="B20" s="45" t="s">
        <v>147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44" t="s">
        <v>135</v>
      </c>
      <c r="P20" s="44"/>
      <c r="Q20" s="44"/>
      <c r="R20" s="44" t="s">
        <v>135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1:28" ht="13.5" customHeight="1">
      <c r="A21" s="42">
        <v>17</v>
      </c>
      <c r="B21" s="43" t="s">
        <v>148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44"/>
      <c r="R21" s="44" t="s">
        <v>135</v>
      </c>
      <c r="S21" s="44"/>
      <c r="T21" s="44"/>
      <c r="U21" s="34"/>
      <c r="V21" s="34"/>
      <c r="W21" s="34"/>
      <c r="X21" s="34"/>
      <c r="Y21" s="34"/>
      <c r="Z21" s="34"/>
      <c r="AA21" s="34"/>
      <c r="AB21" s="34"/>
    </row>
    <row r="22" spans="1:28" ht="13.5" customHeight="1">
      <c r="A22" s="42">
        <v>18</v>
      </c>
      <c r="B22" s="45" t="s">
        <v>149</v>
      </c>
      <c r="C22" s="36"/>
      <c r="D22" s="36"/>
      <c r="E22" s="36"/>
      <c r="F22" s="36"/>
      <c r="G22" s="36"/>
      <c r="H22" s="36"/>
      <c r="I22" s="36"/>
      <c r="J22" s="44"/>
      <c r="K22" s="44"/>
      <c r="L22" s="44" t="s">
        <v>135</v>
      </c>
      <c r="M22" s="44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1:28" ht="13.5" customHeight="1">
      <c r="A23" s="42">
        <v>19</v>
      </c>
      <c r="B23" s="43" t="s">
        <v>150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44"/>
      <c r="N23" s="44"/>
      <c r="O23" s="44" t="s">
        <v>135</v>
      </c>
      <c r="P23" s="4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3.5" customHeight="1">
      <c r="A24" s="42">
        <v>20</v>
      </c>
      <c r="B24" s="45" t="s">
        <v>151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44" t="s">
        <v>135</v>
      </c>
      <c r="P24" s="44"/>
      <c r="Q24" s="44"/>
      <c r="R24" s="44" t="s">
        <v>135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1:28" ht="13.5" customHeight="1">
      <c r="A25" s="42">
        <v>21</v>
      </c>
      <c r="B25" s="43" t="s">
        <v>152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44"/>
      <c r="Q25" s="44"/>
      <c r="R25" s="44" t="s">
        <v>135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13.5" customHeight="1">
      <c r="A26" s="42">
        <v>22</v>
      </c>
      <c r="B26" s="45" t="s">
        <v>153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44" t="s">
        <v>135</v>
      </c>
      <c r="S26" s="44"/>
      <c r="T26" s="44"/>
      <c r="U26" s="36"/>
      <c r="V26" s="36"/>
      <c r="W26" s="36"/>
      <c r="X26" s="36"/>
      <c r="Y26" s="36"/>
      <c r="Z26" s="36"/>
      <c r="AA26" s="36"/>
      <c r="AB26" s="36"/>
    </row>
    <row r="27" spans="1:28" ht="13.5" customHeight="1">
      <c r="A27" s="42">
        <v>23</v>
      </c>
      <c r="B27" s="43" t="s">
        <v>154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44"/>
      <c r="T27" s="44"/>
      <c r="U27" s="34"/>
      <c r="V27" s="34"/>
      <c r="W27" s="34"/>
      <c r="X27" s="34"/>
      <c r="Y27" s="34"/>
      <c r="Z27" s="34"/>
      <c r="AA27" s="34"/>
      <c r="AB27" s="34"/>
    </row>
    <row r="28" spans="1:28" ht="13.5" customHeight="1">
      <c r="A28" s="46">
        <v>24</v>
      </c>
      <c r="B28" s="47" t="s">
        <v>155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48"/>
      <c r="T28" s="48"/>
      <c r="U28" s="36"/>
      <c r="V28" s="36"/>
      <c r="W28" s="36"/>
      <c r="X28" s="36"/>
      <c r="Y28" s="36"/>
      <c r="Z28" s="36"/>
      <c r="AA28" s="36"/>
      <c r="AB28" s="36"/>
    </row>
    <row r="29" spans="1:28" ht="13.5" customHeight="1">
      <c r="A29" s="46">
        <v>25</v>
      </c>
      <c r="B29" s="49" t="s">
        <v>156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48"/>
      <c r="U29" s="48" t="s">
        <v>135</v>
      </c>
      <c r="V29" s="34"/>
      <c r="W29" s="34"/>
      <c r="X29" s="34"/>
      <c r="Y29" s="34"/>
      <c r="Z29" s="34"/>
      <c r="AA29" s="34"/>
      <c r="AB29" s="34"/>
    </row>
    <row r="30" spans="1:28" ht="13.5" customHeight="1">
      <c r="A30" s="46">
        <v>26</v>
      </c>
      <c r="B30" s="47" t="s">
        <v>157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48" t="s">
        <v>135</v>
      </c>
      <c r="V30" s="48"/>
      <c r="W30" s="48"/>
      <c r="X30" s="36"/>
      <c r="Y30" s="36"/>
      <c r="Z30" s="36"/>
      <c r="AA30" s="36"/>
      <c r="AB30" s="36"/>
    </row>
    <row r="31" spans="1:28" ht="13.5" customHeight="1">
      <c r="A31" s="46">
        <v>27</v>
      </c>
      <c r="B31" s="49" t="s">
        <v>158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48" t="s">
        <v>135</v>
      </c>
      <c r="V31" s="48"/>
      <c r="W31" s="48"/>
      <c r="X31" s="34"/>
      <c r="Y31" s="34"/>
      <c r="Z31" s="34"/>
      <c r="AA31" s="34"/>
      <c r="AB31" s="34"/>
    </row>
    <row r="32" spans="1:28" ht="13.5" customHeight="1">
      <c r="A32" s="46">
        <v>28</v>
      </c>
      <c r="B32" s="47" t="s">
        <v>159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48"/>
      <c r="W32" s="48"/>
      <c r="X32" s="48" t="s">
        <v>135</v>
      </c>
      <c r="Y32" s="36"/>
      <c r="Z32" s="36"/>
      <c r="AA32" s="36"/>
      <c r="AB32" s="36"/>
    </row>
    <row r="33" spans="1:29" ht="13.5" customHeight="1">
      <c r="A33" s="46">
        <v>29</v>
      </c>
      <c r="B33" s="49" t="s">
        <v>160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48"/>
      <c r="X33" s="48" t="s">
        <v>135</v>
      </c>
      <c r="Y33" s="34"/>
      <c r="Z33" s="34"/>
      <c r="AA33" s="34"/>
      <c r="AB33" s="34"/>
    </row>
    <row r="34" spans="1:29" ht="13.5" customHeight="1">
      <c r="A34" s="46">
        <v>30</v>
      </c>
      <c r="B34" s="47" t="s">
        <v>161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48" t="s">
        <v>135</v>
      </c>
      <c r="Y34" s="48"/>
      <c r="Z34" s="36"/>
      <c r="AA34" s="36"/>
      <c r="AB34" s="36"/>
    </row>
    <row r="35" spans="1:29" ht="13.5" customHeight="1">
      <c r="A35" s="46">
        <v>31</v>
      </c>
      <c r="B35" s="49" t="s">
        <v>162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48"/>
      <c r="Z35" s="48"/>
      <c r="AA35" s="48" t="s">
        <v>135</v>
      </c>
      <c r="AB35" s="34"/>
    </row>
    <row r="36" spans="1:29" ht="13.5" customHeight="1">
      <c r="A36" s="50">
        <v>32</v>
      </c>
      <c r="B36" s="51" t="s">
        <v>163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spans="1:29" ht="13.5" customHeight="1">
      <c r="A37" s="50">
        <v>33</v>
      </c>
      <c r="B37" s="53" t="s">
        <v>164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52"/>
      <c r="X37" s="52" t="s">
        <v>135</v>
      </c>
      <c r="Y37" s="52"/>
      <c r="Z37" s="52"/>
      <c r="AA37" s="34"/>
      <c r="AB37" s="34"/>
    </row>
    <row r="38" spans="1:29" ht="13.5" customHeight="1">
      <c r="A38" s="50">
        <v>34</v>
      </c>
      <c r="B38" s="51" t="s">
        <v>165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52"/>
      <c r="AA38" s="52" t="s">
        <v>135</v>
      </c>
      <c r="AB38" s="36"/>
    </row>
    <row r="39" spans="1:29" ht="13.5" customHeight="1">
      <c r="A39" s="50">
        <v>35</v>
      </c>
      <c r="B39" s="53" t="s">
        <v>166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52" t="s">
        <v>135</v>
      </c>
      <c r="AB39" s="52"/>
    </row>
    <row r="42" spans="1:29" ht="18" customHeight="1">
      <c r="A42" s="62" t="s">
        <v>167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</row>
  </sheetData>
  <mergeCells count="8">
    <mergeCell ref="A1:AC1"/>
    <mergeCell ref="A2:AC2"/>
    <mergeCell ref="A42:AC42"/>
    <mergeCell ref="C3:H3"/>
    <mergeCell ref="I3:N3"/>
    <mergeCell ref="O3:T3"/>
    <mergeCell ref="U3:Z3"/>
    <mergeCell ref="AA3:AB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8f70b8-72e7-4b36-a6ec-6608eeb5ac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5F1DB25F37F24685481EFA9B5B25BE" ma:contentTypeVersion="14" ma:contentTypeDescription="Create a new document." ma:contentTypeScope="" ma:versionID="ae58c70416b1b4dcc36660434cda8651">
  <xsd:schema xmlns:xsd="http://www.w3.org/2001/XMLSchema" xmlns:xs="http://www.w3.org/2001/XMLSchema" xmlns:p="http://schemas.microsoft.com/office/2006/metadata/properties" xmlns:ns3="4f8f70b8-72e7-4b36-a6ec-6608eeb5acb7" xmlns:ns4="47e7d800-a6a4-419b-8b21-9a1f4e4347ab" targetNamespace="http://schemas.microsoft.com/office/2006/metadata/properties" ma:root="true" ma:fieldsID="9d198c03d0830229e49240f2732f9f31" ns3:_="" ns4:_="">
    <xsd:import namespace="4f8f70b8-72e7-4b36-a6ec-6608eeb5acb7"/>
    <xsd:import namespace="47e7d800-a6a4-419b-8b21-9a1f4e4347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f70b8-72e7-4b36-a6ec-6608eeb5a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7d800-a6a4-419b-8b21-9a1f4e4347a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12F4D1-E0A5-44AA-90F3-545B7261298D}"/>
</file>

<file path=customXml/itemProps2.xml><?xml version="1.0" encoding="utf-8"?>
<ds:datastoreItem xmlns:ds="http://schemas.openxmlformats.org/officeDocument/2006/customXml" ds:itemID="{7C4AB985-8962-4293-A912-55EE68C29DFA}"/>
</file>

<file path=customXml/itemProps3.xml><?xml version="1.0" encoding="utf-8"?>
<ds:datastoreItem xmlns:ds="http://schemas.openxmlformats.org/officeDocument/2006/customXml" ds:itemID="{C19DE483-C8B5-48E6-8095-01B7846CA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2026-03-06T02:37:04Z</dcterms:created>
  <dcterms:modified xsi:type="dcterms:W3CDTF">2026-03-06T21:11:25Z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0x010100CC5F1DB25F37F24685481EFA9B5B25BE</vt:lpwstr>
  </property>
</Properties>
</file>